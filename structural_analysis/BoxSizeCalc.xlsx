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tom_calc" sheetId="1" state="visible" r:id="rId1"/>
    <sheet name="pair_coeff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<sst xmlns="http://schemas.openxmlformats.org/spreadsheetml/2006/main" count="31" uniqueCount="31">
  <si>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Density</t>
  </si>
  <si>
    <t>g/cm3</t>
  </si>
  <si>
    <t xml:space="preserve">Mass (amu)</t>
  </si>
  <si>
    <t xml:space="preserve">Fraction (%)</t>
  </si>
  <si>
    <t>Slag</t>
  </si>
  <si>
    <t>Ca</t>
  </si>
  <si>
    <t>Si</t>
  </si>
  <si>
    <t>Mg</t>
  </si>
  <si>
    <t>O</t>
  </si>
  <si>
    <t>Al</t>
  </si>
  <si>
    <t>Total</t>
  </si>
  <si>
    <t xml:space="preserve">Total Mass (amu)</t>
  </si>
  <si>
    <t xml:space="preserve">Total Volume (m3)</t>
  </si>
  <si>
    <t xml:space="preserve">Box Length (A)</t>
  </si>
  <si>
    <t>SiO2</t>
  </si>
  <si>
    <t>CaO</t>
  </si>
  <si>
    <t>MgO</t>
  </si>
  <si>
    <t>Al2O3</t>
  </si>
  <si>
    <t>MC1</t>
  </si>
  <si>
    <t>MC2</t>
  </si>
  <si>
    <t>MC3</t>
  </si>
  <si>
    <t>MC4</t>
  </si>
  <si>
    <t>Atom</t>
  </si>
  <si>
    <t xml:space="preserve">Q (e)</t>
  </si>
  <si>
    <t xml:space="preserve">A (Å)</t>
  </si>
  <si>
    <t xml:space="preserve">B (Å)</t>
  </si>
  <si>
    <t xml:space="preserve">C (Å³(kJ/mol)¹/²)</t>
  </si>
  <si>
    <t>Aij</t>
  </si>
  <si>
    <t>rho(i,j)</t>
  </si>
  <si>
    <t>sigma(i,j)</t>
  </si>
  <si>
    <t>Cij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</si>
</sst>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4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1">
    <xf fontId="0" fillId="0" borderId="0" numFmtId="0" xfId="0"/>
    <xf fontId="0" fillId="2" borderId="0" numFmtId="0" xfId="0" applyFill="1"/>
    <xf fontId="0" fillId="2" borderId="0" numFmtId="2" xfId="0" applyNumberFormat="1" applyFill="1"/>
    <xf fontId="0" fillId="3" borderId="0" numFmtId="0" xfId="0" applyFill="1" applyAlignment="1">
      <alignment horizontal="center"/>
    </xf>
    <xf fontId="0" fillId="3" borderId="0" numFmtId="0" xfId="0" applyFill="1"/>
    <xf fontId="0" fillId="0" borderId="0" numFmtId="1" xfId="0" applyNumberFormat="1"/>
    <xf fontId="0" fillId="0" borderId="0" numFmtId="9" xfId="1" applyNumberFormat="1"/>
    <xf fontId="1" fillId="0" borderId="0" numFmtId="0" xfId="0" applyFont="1" applyAlignment="1">
      <alignment horizontal="center" vertical="center" wrapText="1"/>
    </xf>
    <xf fontId="0" fillId="0" borderId="0" numFmtId="0" xfId="0" applyAlignment="1">
      <alignment vertical="center" wrapText="1"/>
    </xf>
    <xf fontId="0" fillId="0" borderId="0" numFmtId="164" xfId="0" applyNumberFormat="1"/>
    <xf fontId="0" fillId="0" borderId="0" numFmtId="165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7" activeCellId="0" sqref="F7"/>
    </sheetView>
  </sheetViews>
  <sheetFormatPr defaultRowHeight="14.25"/>
  <cols>
    <col bestFit="1" min="1" max="1" width="10.57421875"/>
    <col bestFit="1" customWidth="1" min="2" max="2" width="9.234375"/>
    <col bestFit="1" customWidth="1" min="8" max="8" width="14.41015625"/>
    <col bestFit="1" customWidth="1" min="9" max="9" width="18.17578125"/>
    <col bestFit="1" customWidth="1" min="10" max="10" width="10.76171875"/>
    <col bestFit="1" customWidth="1" min="11" max="11" width="11.64453125"/>
  </cols>
  <sheetData>
    <row r="1">
      <c r="A1" t="s">
        <v>0</v>
      </c>
      <c r="B1" s="1">
        <v>2.6800000000000002</v>
      </c>
      <c r="C1" t="s">
        <v>1</v>
      </c>
    </row>
    <row r="2">
      <c r="A2" t="s">
        <v>2</v>
      </c>
      <c r="B2" s="2">
        <v>40.078000000000003</v>
      </c>
      <c r="C2" s="2">
        <v>28.085000000000001</v>
      </c>
      <c r="D2" s="2">
        <v>24.305</v>
      </c>
      <c r="E2" s="2">
        <v>15.999000000000001</v>
      </c>
      <c r="F2" s="2">
        <v>26.981999999999999</v>
      </c>
      <c r="N2" s="3" t="s">
        <v>3</v>
      </c>
      <c r="O2" s="3"/>
      <c r="P2" s="3"/>
      <c r="Q2" s="3"/>
      <c r="R2" s="3"/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N3" s="4" t="s">
        <v>4</v>
      </c>
      <c r="O3" s="4" t="s">
        <v>14</v>
      </c>
      <c r="P3" s="4" t="s">
        <v>15</v>
      </c>
      <c r="Q3" s="4" t="s">
        <v>16</v>
      </c>
      <c r="R3" s="4" t="s">
        <v>17</v>
      </c>
    </row>
    <row r="4">
      <c r="A4" t="s">
        <v>18</v>
      </c>
      <c r="B4">
        <v>1084</v>
      </c>
      <c r="C4">
        <v>644</v>
      </c>
      <c r="D4">
        <v>206</v>
      </c>
      <c r="E4">
        <v>3472</v>
      </c>
      <c r="F4">
        <v>596</v>
      </c>
      <c r="G4">
        <v>6002</v>
      </c>
      <c r="H4">
        <f t="shared" ref="H4:H7" si="0">B4*B$2+C4*C$2+D4*D$2+E4*E$2+F4*F$2</f>
        <v>138167.92199999999</v>
      </c>
      <c r="I4">
        <f t="shared" ref="I4:I7" si="1">(H4*1.66054E-27)/(B$1*1000)</f>
        <v>8.5609463133537302e-26</v>
      </c>
      <c r="J4" s="5">
        <f>I4^(1/3)*10^(10)</f>
        <v>44.073133048886852</v>
      </c>
      <c r="N4" t="s">
        <v>18</v>
      </c>
      <c r="O4">
        <v>28</v>
      </c>
      <c r="P4">
        <v>44</v>
      </c>
      <c r="Q4">
        <v>6</v>
      </c>
      <c r="R4">
        <v>22</v>
      </c>
      <c r="S4" s="6"/>
    </row>
    <row r="5">
      <c r="A5" t="s">
        <v>19</v>
      </c>
      <c r="B5">
        <v>1028</v>
      </c>
      <c r="C5">
        <v>640</v>
      </c>
      <c r="D5">
        <v>272</v>
      </c>
      <c r="E5">
        <v>3468</v>
      </c>
      <c r="F5">
        <v>592</v>
      </c>
      <c r="G5">
        <v>6000</v>
      </c>
      <c r="H5">
        <f t="shared" si="0"/>
        <v>137243.42000000001</v>
      </c>
      <c r="I5">
        <f t="shared" si="1"/>
        <v>8.5036637554776122e-26</v>
      </c>
      <c r="J5" s="5">
        <f t="shared" ref="J5:J7" si="2">I5^(1/3)*10^(10)</f>
        <v>43.974613033297537</v>
      </c>
      <c r="N5" t="s">
        <v>19</v>
      </c>
      <c r="O5">
        <v>28</v>
      </c>
      <c r="P5">
        <v>42</v>
      </c>
      <c r="Q5">
        <v>8</v>
      </c>
      <c r="R5">
        <v>22</v>
      </c>
      <c r="S5" s="6"/>
    </row>
    <row r="6">
      <c r="A6" t="s">
        <v>20</v>
      </c>
      <c r="B6">
        <v>973</v>
      </c>
      <c r="C6">
        <v>636</v>
      </c>
      <c r="D6">
        <v>338</v>
      </c>
      <c r="E6">
        <v>3465</v>
      </c>
      <c r="F6">
        <v>588</v>
      </c>
      <c r="G6">
        <v>6000</v>
      </c>
      <c r="H6">
        <f t="shared" si="0"/>
        <v>136374.995</v>
      </c>
      <c r="I6">
        <f t="shared" si="1"/>
        <v>8.4498557536305966e-26</v>
      </c>
      <c r="J6" s="5">
        <f t="shared" si="2"/>
        <v>43.881665078700649</v>
      </c>
      <c r="N6" t="s">
        <v>20</v>
      </c>
      <c r="O6">
        <v>28</v>
      </c>
      <c r="P6">
        <v>40</v>
      </c>
      <c r="Q6">
        <v>10</v>
      </c>
      <c r="R6">
        <v>22</v>
      </c>
      <c r="S6" s="6"/>
    </row>
    <row r="7">
      <c r="A7" t="s">
        <v>21</v>
      </c>
      <c r="B7">
        <v>918</v>
      </c>
      <c r="C7">
        <v>632</v>
      </c>
      <c r="D7">
        <v>403</v>
      </c>
      <c r="E7">
        <v>3461</v>
      </c>
      <c r="F7">
        <v>584</v>
      </c>
      <c r="G7">
        <v>5998</v>
      </c>
      <c r="H7">
        <f t="shared" si="0"/>
        <v>135466.266</v>
      </c>
      <c r="I7">
        <f t="shared" si="1"/>
        <v>8.3935504978970155e-26</v>
      </c>
      <c r="J7" s="5">
        <f t="shared" si="2"/>
        <v>43.783979910788254</v>
      </c>
      <c r="N7" t="s">
        <v>21</v>
      </c>
      <c r="O7">
        <v>28</v>
      </c>
      <c r="P7">
        <v>38</v>
      </c>
      <c r="Q7">
        <v>12</v>
      </c>
      <c r="R7">
        <v>22</v>
      </c>
      <c r="S7" s="6"/>
    </row>
  </sheetData>
  <mergeCells count="1">
    <mergeCell ref="N2:R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2" activeCellId="0" sqref="J2"/>
    </sheetView>
  </sheetViews>
  <sheetFormatPr defaultRowHeight="14.35"/>
  <cols>
    <col bestFit="1" customWidth="1" min="10" max="10" width="11.64453125"/>
    <col bestFit="1" customWidth="1" min="13" max="13" width="10.234375"/>
  </cols>
  <sheetData>
    <row r="1" ht="43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s="8" t="s">
        <v>5</v>
      </c>
      <c r="B2" s="8">
        <v>0.94499999999999995</v>
      </c>
      <c r="C2" s="8">
        <v>1.1719999999999999</v>
      </c>
      <c r="D2" s="8">
        <v>0.040000000000000001</v>
      </c>
      <c r="E2" s="8">
        <v>45</v>
      </c>
      <c r="H2" t="s">
        <v>5</v>
      </c>
      <c r="I2" t="s">
        <v>5</v>
      </c>
      <c r="J2" s="9">
        <f t="shared" ref="J2:J16" si="3">4.814*0.2390057*(_xlfn.XLOOKUP(H2, A:A, D:D)+_xlfn.XLOOKUP(I2, A:A, D:D))</f>
        <v>0.092045875184000009</v>
      </c>
      <c r="K2" s="10">
        <f t="shared" ref="K2:K16" si="4">_xlfn.XLOOKUP(H2, A:A, D:D)+_xlfn.XLOOKUP(I2, A:A, D:D)</f>
        <v>0.080000000000000002</v>
      </c>
      <c r="L2" s="10">
        <f t="shared" ref="L2:L16" si="5">_xlfn.XLOOKUP(H2, A:A, C:C)+_xlfn.XLOOKUP(I2, A:A, C:C)</f>
        <v>2.3439999999999999</v>
      </c>
      <c r="M2" s="10">
        <f t="shared" ref="M2:M16" si="6">0.2390057*(_xlfn.XLOOKUP(H2, A:A, E:E)*_xlfn.XLOOKUP(I2, A:A, E:E))</f>
        <v>483.98654249999998</v>
      </c>
    </row>
    <row r="3">
      <c r="A3" s="8" t="s">
        <v>6</v>
      </c>
      <c r="B3" s="8">
        <v>1.8899999999999999</v>
      </c>
      <c r="C3" s="8">
        <v>0.72040000000000004</v>
      </c>
      <c r="D3" s="8">
        <v>0.023</v>
      </c>
      <c r="E3" s="8">
        <v>49.299999999999997</v>
      </c>
      <c r="H3" t="s">
        <v>5</v>
      </c>
      <c r="I3" t="s">
        <v>6</v>
      </c>
      <c r="J3" s="9">
        <f t="shared" si="3"/>
        <v>0.072486126707399998</v>
      </c>
      <c r="K3" s="10">
        <f t="shared" si="4"/>
        <v>0.063</v>
      </c>
      <c r="L3" s="10">
        <f t="shared" si="5"/>
        <v>1.8923999999999999</v>
      </c>
      <c r="M3" s="10">
        <f t="shared" si="6"/>
        <v>530.23414545000003</v>
      </c>
    </row>
    <row r="4">
      <c r="A4" s="8" t="s">
        <v>7</v>
      </c>
      <c r="B4" s="8">
        <v>0.94499999999999995</v>
      </c>
      <c r="C4" s="8">
        <v>0.89400000000000002</v>
      </c>
      <c r="D4" s="8">
        <v>0.040000000000000001</v>
      </c>
      <c r="E4" s="8">
        <v>29.050000000000001</v>
      </c>
      <c r="H4" t="s">
        <v>5</v>
      </c>
      <c r="I4" t="s">
        <v>7</v>
      </c>
      <c r="J4" s="9">
        <f t="shared" si="3"/>
        <v>0.092045875184000009</v>
      </c>
      <c r="K4" s="10">
        <f t="shared" si="4"/>
        <v>0.080000000000000002</v>
      </c>
      <c r="L4" s="10">
        <f t="shared" si="5"/>
        <v>2.0659999999999998</v>
      </c>
      <c r="M4" s="10">
        <f t="shared" si="6"/>
        <v>312.44020132499998</v>
      </c>
    </row>
    <row r="5">
      <c r="A5" s="8" t="s">
        <v>9</v>
      </c>
      <c r="B5" s="8">
        <v>1.4175</v>
      </c>
      <c r="C5" s="8">
        <v>0.78520000000000001</v>
      </c>
      <c r="D5" s="8">
        <v>0.034000000000000002</v>
      </c>
      <c r="E5" s="8">
        <v>36.82</v>
      </c>
      <c r="H5" t="s">
        <v>5</v>
      </c>
      <c r="I5" t="s">
        <v>9</v>
      </c>
      <c r="J5" s="9">
        <f t="shared" si="3"/>
        <v>0.085142434545200013</v>
      </c>
      <c r="K5" s="10">
        <f t="shared" si="4"/>
        <v>0.07400000000000001</v>
      </c>
      <c r="L5" s="10">
        <f t="shared" si="5"/>
        <v>1.9571999999999998</v>
      </c>
      <c r="M5" s="10">
        <f t="shared" si="6"/>
        <v>396.00854433000001</v>
      </c>
    </row>
    <row r="6">
      <c r="A6" s="8" t="s">
        <v>8</v>
      </c>
      <c r="B6" s="8">
        <v>-0.94499999999999995</v>
      </c>
      <c r="C6" s="8">
        <v>1.8214999999999999</v>
      </c>
      <c r="D6" s="8">
        <v>0.13800000000000001</v>
      </c>
      <c r="E6" s="8">
        <v>90.609999999999999</v>
      </c>
      <c r="H6" t="s">
        <v>5</v>
      </c>
      <c r="I6" t="s">
        <v>8</v>
      </c>
      <c r="J6" s="9">
        <f t="shared" si="3"/>
        <v>0.20480207228440003</v>
      </c>
      <c r="K6" s="10">
        <f t="shared" si="4"/>
        <v>0.17800000000000002</v>
      </c>
      <c r="L6" s="10">
        <f t="shared" si="5"/>
        <v>2.9935</v>
      </c>
      <c r="M6" s="10">
        <f t="shared" si="6"/>
        <v>974.53379146499992</v>
      </c>
    </row>
    <row r="7">
      <c r="H7" t="s">
        <v>6</v>
      </c>
      <c r="I7" t="s">
        <v>6</v>
      </c>
      <c r="J7" s="9">
        <f t="shared" si="3"/>
        <v>0.0529263782308</v>
      </c>
      <c r="K7" s="10">
        <f t="shared" si="4"/>
        <v>0.045999999999999999</v>
      </c>
      <c r="L7" s="10">
        <f t="shared" si="5"/>
        <v>1.4408000000000001</v>
      </c>
      <c r="M7" s="10">
        <f t="shared" si="6"/>
        <v>580.90096379299996</v>
      </c>
    </row>
    <row r="8">
      <c r="H8" t="s">
        <v>6</v>
      </c>
      <c r="I8" t="s">
        <v>7</v>
      </c>
      <c r="J8" s="9">
        <f t="shared" si="3"/>
        <v>0.072486126707399998</v>
      </c>
      <c r="K8" s="10">
        <f t="shared" si="4"/>
        <v>0.063</v>
      </c>
      <c r="L8" s="10">
        <f t="shared" si="5"/>
        <v>1.6144000000000001</v>
      </c>
      <c r="M8" s="10">
        <f t="shared" si="6"/>
        <v>342.29559834049996</v>
      </c>
    </row>
    <row r="9">
      <c r="H9" t="s">
        <v>6</v>
      </c>
      <c r="I9" t="s">
        <v>9</v>
      </c>
      <c r="J9" s="9">
        <f t="shared" si="3"/>
        <v>0.065582686068600002</v>
      </c>
      <c r="K9" s="10">
        <f t="shared" si="4"/>
        <v>0.057000000000000002</v>
      </c>
      <c r="L9" s="10">
        <f t="shared" si="5"/>
        <v>1.5056</v>
      </c>
      <c r="M9" s="10">
        <f t="shared" si="6"/>
        <v>433.84936078819993</v>
      </c>
    </row>
    <row r="10">
      <c r="H10" t="s">
        <v>6</v>
      </c>
      <c r="I10" t="s">
        <v>8</v>
      </c>
      <c r="J10" s="9">
        <f t="shared" si="3"/>
        <v>0.18524232380780001</v>
      </c>
      <c r="K10" s="10">
        <f t="shared" si="4"/>
        <v>0.161</v>
      </c>
      <c r="L10" s="10">
        <f t="shared" si="5"/>
        <v>2.5419</v>
      </c>
      <c r="M10" s="10">
        <f t="shared" si="6"/>
        <v>1067.6559093160997</v>
      </c>
    </row>
    <row r="11">
      <c r="H11" t="s">
        <v>7</v>
      </c>
      <c r="I11" t="s">
        <v>7</v>
      </c>
      <c r="J11" s="9">
        <f t="shared" si="3"/>
        <v>0.092045875184000009</v>
      </c>
      <c r="K11" s="10">
        <f t="shared" si="4"/>
        <v>0.080000000000000002</v>
      </c>
      <c r="L11" s="10">
        <f t="shared" si="5"/>
        <v>1.788</v>
      </c>
      <c r="M11" s="10">
        <f t="shared" si="6"/>
        <v>201.69750774425</v>
      </c>
    </row>
    <row r="12">
      <c r="H12" t="s">
        <v>7</v>
      </c>
      <c r="I12" t="s">
        <v>9</v>
      </c>
      <c r="J12" s="9">
        <f t="shared" si="3"/>
        <v>0.085142434545200013</v>
      </c>
      <c r="K12" s="10">
        <f t="shared" si="4"/>
        <v>0.07400000000000001</v>
      </c>
      <c r="L12" s="10">
        <f t="shared" si="5"/>
        <v>1.6792</v>
      </c>
      <c r="M12" s="10">
        <f t="shared" si="6"/>
        <v>255.64551583970001</v>
      </c>
    </row>
    <row r="13">
      <c r="H13" t="s">
        <v>7</v>
      </c>
      <c r="I13" t="s">
        <v>8</v>
      </c>
      <c r="J13" s="9">
        <f t="shared" si="3"/>
        <v>0.20480207228440003</v>
      </c>
      <c r="K13" s="10">
        <f t="shared" si="4"/>
        <v>0.17800000000000002</v>
      </c>
      <c r="L13" s="10">
        <f t="shared" si="5"/>
        <v>2.7155</v>
      </c>
      <c r="M13" s="10">
        <f t="shared" si="6"/>
        <v>629.11570315684992</v>
      </c>
    </row>
    <row r="14">
      <c r="H14" t="s">
        <v>9</v>
      </c>
      <c r="I14" t="s">
        <v>9</v>
      </c>
      <c r="J14" s="9">
        <f t="shared" si="3"/>
        <v>0.078238993906400003</v>
      </c>
      <c r="K14" s="10">
        <f t="shared" si="4"/>
        <v>0.068000000000000005</v>
      </c>
      <c r="L14" s="10">
        <f t="shared" si="5"/>
        <v>1.5704</v>
      </c>
      <c r="M14" s="10">
        <f t="shared" si="6"/>
        <v>324.02299116068002</v>
      </c>
    </row>
    <row r="15">
      <c r="H15" t="s">
        <v>9</v>
      </c>
      <c r="I15" t="s">
        <v>8</v>
      </c>
      <c r="J15" s="9">
        <f t="shared" si="3"/>
        <v>0.19789863164560001</v>
      </c>
      <c r="K15" s="10">
        <f t="shared" si="4"/>
        <v>0.17200000000000001</v>
      </c>
      <c r="L15" s="10">
        <f t="shared" si="5"/>
        <v>2.6067</v>
      </c>
      <c r="M15" s="10">
        <f t="shared" si="6"/>
        <v>797.38520448314</v>
      </c>
    </row>
    <row r="16">
      <c r="H16" t="s">
        <v>8</v>
      </c>
      <c r="I16" t="s">
        <v>8</v>
      </c>
      <c r="J16" s="9">
        <f t="shared" si="3"/>
        <v>0.31755826938480003</v>
      </c>
      <c r="K16" s="10">
        <f t="shared" si="4"/>
        <v>0.27600000000000002</v>
      </c>
      <c r="L16" s="10">
        <f t="shared" si="5"/>
        <v>3.6429999999999998</v>
      </c>
      <c r="M16" s="10">
        <f t="shared" si="6"/>
        <v>1962.2779298809699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dikshant</dc:creator>
  <cp:revision>1</cp:revision>
  <dcterms:created xsi:type="dcterms:W3CDTF">2015-06-05T18:17:20Z</dcterms:created>
  <dcterms:modified xsi:type="dcterms:W3CDTF">2026-05-04T15:08:30Z</dcterms:modified>
</cp:coreProperties>
</file>